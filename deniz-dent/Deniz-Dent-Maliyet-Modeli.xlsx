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sayimlar" sheetId="1" state="visible" r:id="rId1"/>
    <sheet name="Birim Maliyetler" sheetId="2" state="visible" r:id="rId2"/>
    <sheet name="Aylik Maliyet" sheetId="3" state="visible" r:id="rId3"/>
    <sheet name="Fiyatlandirma" sheetId="4" state="visible" r:id="rId4"/>
    <sheet name="Senaryolar" sheetId="5" state="visible" r:id="rId5"/>
    <sheet name="Kaldirac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$#,##0.00"/>
    <numFmt numFmtId="166" formatCode="$#,##0"/>
    <numFmt numFmtId="167" formatCode="#,##0 ₺"/>
    <numFmt numFmtId="168" formatCode="#,##0.00 ₺"/>
    <numFmt numFmtId="169" formatCode="0.0&quot;x&quot;"/>
  </numFmts>
  <fonts count="15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i val="1"/>
      <color rgb="0064748B"/>
      <sz val="9"/>
    </font>
    <font>
      <name val="Arial"/>
      <b val="1"/>
      <color rgb="00B45309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B91C1C"/>
      <sz val="9"/>
    </font>
    <font>
      <name val="Arial"/>
      <b val="1"/>
      <sz val="11"/>
    </font>
    <font>
      <name val="Arial"/>
      <b val="1"/>
      <color rgb="00B91C1C"/>
      <sz val="12"/>
    </font>
    <font>
      <name val="Arial"/>
      <b val="1"/>
      <color rgb="000F766E"/>
      <sz val="13"/>
    </font>
    <font>
      <name val="Arial"/>
      <i val="1"/>
      <color rgb="00B45309"/>
      <sz val="9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3" fontId="6" fillId="3" borderId="1" pivotButton="0" quotePrefix="0" xfId="0"/>
    <xf numFmtId="164" fontId="6" fillId="3" borderId="1" pivotButton="0" quotePrefix="0" xfId="0"/>
    <xf numFmtId="9" fontId="6" fillId="3" borderId="1" pivotButton="0" quotePrefix="0" xfId="0"/>
    <xf numFmtId="0" fontId="7" fillId="0" borderId="0" pivotButton="0" quotePrefix="0" xfId="0"/>
    <xf numFmtId="3" fontId="7" fillId="4" borderId="0" pivotButton="0" quotePrefix="0" xfId="0"/>
    <xf numFmtId="165" fontId="6" fillId="3" borderId="1" pivotButton="0" quotePrefix="0" xfId="0"/>
    <xf numFmtId="0" fontId="8" fillId="0" borderId="0" pivotButton="0" quotePrefix="0" xfId="0"/>
    <xf numFmtId="3" fontId="5" fillId="4" borderId="0" pivotButton="0" quotePrefix="0" xfId="0"/>
    <xf numFmtId="166" fontId="5" fillId="4" borderId="0" pivotButton="0" quotePrefix="0" xfId="0"/>
    <xf numFmtId="166" fontId="9" fillId="4" borderId="0" pivotButton="0" quotePrefix="0" xfId="0"/>
    <xf numFmtId="167" fontId="10" fillId="4" borderId="0" pivotButton="0" quotePrefix="0" xfId="0"/>
    <xf numFmtId="168" fontId="7" fillId="4" borderId="0" pivotButton="0" quotePrefix="0" xfId="0"/>
    <xf numFmtId="168" fontId="5" fillId="4" borderId="0" pivotButton="0" quotePrefix="0" xfId="0"/>
    <xf numFmtId="166" fontId="0" fillId="4" borderId="0" pivotButton="0" quotePrefix="0" xfId="0"/>
    <xf numFmtId="9" fontId="0" fillId="4" borderId="0" pivotButton="0" quotePrefix="0" xfId="0"/>
    <xf numFmtId="167" fontId="0" fillId="4" borderId="0" pivotButton="0" quotePrefix="0" xfId="0"/>
    <xf numFmtId="167" fontId="6" fillId="3" borderId="1" pivotButton="0" quotePrefix="0" xfId="0"/>
    <xf numFmtId="167" fontId="7" fillId="4" borderId="0" pivotButton="0" quotePrefix="0" xfId="0"/>
    <xf numFmtId="167" fontId="1" fillId="5" borderId="0" pivotButton="0" quotePrefix="0" xfId="0"/>
    <xf numFmtId="167" fontId="11" fillId="5" borderId="0" pivotButton="0" quotePrefix="0" xfId="0"/>
    <xf numFmtId="167" fontId="0" fillId="0" borderId="0" pivotButton="0" quotePrefix="0" xfId="0"/>
    <xf numFmtId="169" fontId="0" fillId="4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7" fontId="7" fillId="0" borderId="1" pivotButton="0" quotePrefix="0" xfId="0"/>
    <xf numFmtId="0" fontId="12" fillId="0" borderId="0" pivotButton="0" quotePrefix="0" xfId="0"/>
    <xf numFmtId="0" fontId="7" fillId="0" borderId="1" pivotButton="0" quotePrefix="0" xfId="0"/>
    <xf numFmtId="9" fontId="0" fillId="0" borderId="1" pivotButton="0" quotePrefix="0" xfId="0"/>
    <xf numFmtId="0" fontId="5" fillId="0" borderId="1" pivotButton="0" quotePrefix="0" xfId="0"/>
    <xf numFmtId="0" fontId="14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62" customWidth="1" min="3" max="3"/>
  </cols>
  <sheetData>
    <row r="1">
      <c r="A1" s="1" t="inlineStr">
        <is>
          <t>Deniz Dent — 7/24 Sesli Asistan Maliyet Modeli</t>
        </is>
      </c>
    </row>
    <row r="2">
      <c r="A2" s="2" t="inlineStr">
        <is>
          <t>Sari hucreler elle degistirilir. Digerleri formulle hesaplanir. Hazirlayan: MIZ / My Inovatif Zeka · 02.10.2026</t>
        </is>
      </c>
    </row>
    <row r="4">
      <c r="A4" s="3" t="inlineStr">
        <is>
          <t>NASIL KULLANILIR: Yalnizca SARI hucreleri degistirin. Gri hucreler otomatik hesaplanir.</t>
        </is>
      </c>
    </row>
    <row r="6">
      <c r="A6" s="4" t="inlineStr">
        <is>
          <t>ÇAĞRI HACMİ</t>
        </is>
      </c>
      <c r="B6" s="4" t="n"/>
      <c r="C6" s="4" t="n"/>
      <c r="D6" s="4" t="n"/>
    </row>
    <row r="7">
      <c r="A7" s="5" t="inlineStr">
        <is>
          <t>Günlük çağrı sayısı</t>
        </is>
      </c>
      <c r="B7" s="6" t="n">
        <v>100</v>
      </c>
      <c r="C7" s="2" t="inlineStr">
        <is>
          <t>Kliniğin verdiği tahmin</t>
        </is>
      </c>
    </row>
    <row r="8">
      <c r="A8" s="5" t="inlineStr">
        <is>
          <t>Ortalama görüşme süresi (dakika)</t>
        </is>
      </c>
      <c r="B8" s="7" t="n">
        <v>2.5</v>
      </c>
      <c r="C8" s="2" t="inlineStr">
        <is>
          <t>Varsayım — ilk aydan sonra gerçek veriyle güncellenecek</t>
        </is>
      </c>
    </row>
    <row r="9">
      <c r="A9" s="5" t="inlineStr">
        <is>
          <t>Ayda çalışma günü</t>
        </is>
      </c>
      <c r="B9" s="6" t="n">
        <v>30</v>
      </c>
      <c r="C9" s="2" t="inlineStr">
        <is>
          <t>7/24 olduğu için tüm günler</t>
        </is>
      </c>
    </row>
    <row r="10">
      <c r="A10" s="5" t="inlineStr">
        <is>
          <t>Asistanın karşıladığı çağrı oranı</t>
        </is>
      </c>
      <c r="B10" s="8" t="n">
        <v>1</v>
      </c>
      <c r="C10" s="2" t="inlineStr">
        <is>
          <t>1,00 = tüm çağrıları asistan karşılar</t>
        </is>
      </c>
    </row>
    <row r="12">
      <c r="A12" s="9" t="inlineStr">
        <is>
          <t>Aylık çağrı sayısı</t>
        </is>
      </c>
      <c r="B12" s="10">
        <f>B7*B9*B10</f>
        <v/>
      </c>
    </row>
    <row r="13">
      <c r="A13" s="9" t="inlineStr">
        <is>
          <t>Aylık toplam dakika</t>
        </is>
      </c>
      <c r="B13" s="10">
        <f>B12*B8</f>
        <v/>
      </c>
    </row>
    <row r="15">
      <c r="A15" s="4" t="inlineStr">
        <is>
          <t>TİCARİ</t>
        </is>
      </c>
      <c r="B15" s="4" t="n"/>
      <c r="C15" s="4" t="n"/>
      <c r="D15" s="4" t="n"/>
    </row>
    <row r="16">
      <c r="A16" s="5" t="inlineStr">
        <is>
          <t>USD/TRY kuru</t>
        </is>
      </c>
      <c r="B16" s="7" t="n">
        <v>50</v>
      </c>
      <c r="C16" s="2" t="inlineStr">
        <is>
          <t>Temmuz 2026: ~47,5. Güncel kuru buraya yazın.</t>
        </is>
      </c>
    </row>
    <row r="17">
      <c r="A17" s="5" t="inlineStr">
        <is>
          <t>Hedef brüt marj</t>
        </is>
      </c>
      <c r="B17" s="8" t="n">
        <v>0.55</v>
      </c>
      <c r="C17" s="2" t="inlineStr">
        <is>
          <t>Fiyat = maliyet / (1 - marj)</t>
        </is>
      </c>
    </row>
    <row r="18">
      <c r="A18" s="5" t="inlineStr">
        <is>
          <t>Model seçimi (1/2/3)</t>
        </is>
      </c>
      <c r="B18" s="6" t="n">
        <v>2</v>
      </c>
      <c r="C18" s="2" t="inlineStr">
        <is>
          <t>1=Opus 5.5  2=Sonnet 5.5  3=Haiku 4.5</t>
        </is>
      </c>
    </row>
    <row r="20">
      <c r="A20" s="2" t="inlineStr">
        <is>
          <t>Model seçimi notu: Sonnet 5.5 bu iş için yeterli. Opus daha güçlü ama bu görevde fark yaratmıyor;</t>
        </is>
      </c>
    </row>
    <row r="21">
      <c r="A21" s="2" t="inlineStr">
        <is>
          <t>acil tarama ve zorunlu aktarım zaten modelden bağımsız çalışıyor. Haiku en ucuzu, kaliteyi ölçmeden geçilmemeli.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46" customWidth="1" min="5" max="5"/>
  </cols>
  <sheetData>
    <row r="1">
      <c r="A1" s="1" t="inlineStr">
        <is>
          <t>Birim Maliyetler</t>
        </is>
      </c>
    </row>
    <row r="2">
      <c r="A2" s="2" t="inlineStr">
        <is>
          <t>Tarih: 02.10.2026 · Fiyatlar saglayici sayfalarindan alinmistir, degisebilir. Kaynak sutununu okuyun.</t>
        </is>
      </c>
    </row>
    <row r="5">
      <c r="A5" s="4" t="inlineStr">
        <is>
          <t>TELEFON (Twilio)</t>
        </is>
      </c>
      <c r="B5" s="4" t="n"/>
      <c r="C5" s="4" t="n"/>
      <c r="D5" s="4" t="n"/>
    </row>
    <row r="6">
      <c r="A6" s="5" t="inlineStr">
        <is>
          <t>ConversationRelay ($/dakika)</t>
        </is>
      </c>
      <c r="B6" s="11" t="n">
        <v>0.07000000000000001</v>
      </c>
      <c r="C6" s="2" t="inlineStr">
        <is>
          <t>Twilio Conversational AI fiyat sayfası, 2026</t>
        </is>
      </c>
    </row>
    <row r="7">
      <c r="A7" s="5" t="inlineStr">
        <is>
          <t>Gelen çağrı — Türkiye ($/dakika)</t>
        </is>
      </c>
      <c r="B7" s="11" t="n">
        <v>0.0701</v>
      </c>
      <c r="C7" s="2" t="inlineStr">
        <is>
          <t>Twilio Programmable Voice Türkiye, 2026</t>
        </is>
      </c>
    </row>
    <row r="8">
      <c r="A8" s="5" t="inlineStr">
        <is>
          <t>Numara kirası ($/ay)</t>
        </is>
      </c>
      <c r="B8" s="11" t="n">
        <v>1.15</v>
      </c>
      <c r="C8" s="2" t="inlineStr">
        <is>
          <t>Uluslararası numara, başlangıç fiyatı</t>
        </is>
      </c>
    </row>
    <row r="9">
      <c r="A9" s="12" t="inlineStr">
        <is>
          <t>UYARI: Twilio Türkiye için sesli yerel numara satmıyor olabilir. Doğrulanması gerekiyor —</t>
        </is>
      </c>
    </row>
    <row r="10">
      <c r="A10" s="12" t="inlineStr">
        <is>
          <t>alternatif: kliniğin mevcut hattını Türk operatör/SIP üzerinden bağlamak. Bu, gelen çağrı kalemini düşürür.</t>
        </is>
      </c>
    </row>
    <row r="12">
      <c r="A12" s="4" t="inlineStr">
        <is>
          <t>SES (ElevenLabs)</t>
        </is>
      </c>
      <c r="B12" s="4" t="n"/>
      <c r="C12" s="4" t="n"/>
      <c r="D12" s="4" t="n"/>
    </row>
    <row r="13">
      <c r="A13" s="5" t="inlineStr">
        <is>
          <t>Seslendirme ($/1.000 karakter)</t>
        </is>
      </c>
      <c r="B13" s="11" t="n">
        <v>0.05</v>
      </c>
      <c r="C13" s="2" t="inlineStr">
        <is>
          <t>ElevenLabs API, Flash v2.5, 2026</t>
        </is>
      </c>
    </row>
    <row r="14">
      <c r="A14" s="5" t="inlineStr">
        <is>
          <t>Görüşme başına karakter</t>
        </is>
      </c>
      <c r="B14" s="6" t="n">
        <v>1500</v>
      </c>
      <c r="C14" s="2" t="inlineStr">
        <is>
          <t>Varsayım: 2,5 dk görüşmede asistan ~1.500 karakter konuşur</t>
        </is>
      </c>
    </row>
    <row r="16">
      <c r="A16" s="4" t="inlineStr">
        <is>
          <t>YAPAY ZEKÂ (Anthropic Claude) — $/milyon token</t>
        </is>
      </c>
      <c r="B16" s="4" t="n"/>
      <c r="C16" s="4" t="n"/>
      <c r="D16" s="4" t="n"/>
    </row>
    <row r="17">
      <c r="B17" s="9" t="inlineStr">
        <is>
          <t>Opus 5.5</t>
        </is>
      </c>
      <c r="C17" s="9" t="inlineStr">
        <is>
          <t>Sonnet 5.5</t>
        </is>
      </c>
      <c r="D17" s="9" t="inlineStr">
        <is>
          <t>Haiku 4.5</t>
        </is>
      </c>
    </row>
    <row r="18">
      <c r="A18" s="5" t="inlineStr">
        <is>
          <t>Girdi</t>
        </is>
      </c>
      <c r="B18" s="11" t="n">
        <v>4</v>
      </c>
      <c r="C18" s="11" t="n">
        <v>2</v>
      </c>
      <c r="D18" s="11" t="n">
        <v>1</v>
      </c>
      <c r="E18" s="2" t="inlineStr">
        <is>
          <t>Anthropic resmî fiyat listesi</t>
        </is>
      </c>
    </row>
    <row r="19">
      <c r="A19" s="5" t="inlineStr">
        <is>
          <t>Çıktı</t>
        </is>
      </c>
      <c r="B19" s="11" t="n">
        <v>20</v>
      </c>
      <c r="C19" s="11" t="n">
        <v>10</v>
      </c>
      <c r="D19" s="11" t="n">
        <v>5</v>
      </c>
      <c r="E19" s="2" t="inlineStr">
        <is>
          <t>Anthropic resmî fiyat listesi</t>
        </is>
      </c>
    </row>
    <row r="20">
      <c r="A20" s="5" t="inlineStr">
        <is>
          <t>Önbellekten okuma</t>
        </is>
      </c>
      <c r="B20" s="11" t="n">
        <v>0.2</v>
      </c>
      <c r="C20" s="11" t="n">
        <v>0.2</v>
      </c>
      <c r="D20" s="11" t="n">
        <v>0.1</v>
      </c>
      <c r="E20" s="2" t="inlineStr">
        <is>
          <t>Opus/Sonnet belgelenmiş; Haiku VARSAYIM</t>
        </is>
      </c>
    </row>
    <row r="22">
      <c r="A22" s="4" t="inlineStr">
        <is>
          <t>GÖRÜŞME BAŞINA TOKEN KULLANIMI (varsayım)</t>
        </is>
      </c>
      <c r="B22" s="4" t="n"/>
      <c r="C22" s="4" t="n"/>
      <c r="D22" s="4" t="n"/>
    </row>
    <row r="23">
      <c r="A23" s="5" t="inlineStr">
        <is>
          <t>Görüşme başına tur sayısı</t>
        </is>
      </c>
      <c r="B23" s="6" t="n">
        <v>6</v>
      </c>
      <c r="C23" s="2" t="inlineStr">
        <is>
          <t>Hasta–asistan karşılıklı konuşma sayısı</t>
        </is>
      </c>
    </row>
    <row r="24">
      <c r="A24" s="5" t="inlineStr">
        <is>
          <t>Sistem metni (token)</t>
        </is>
      </c>
      <c r="B24" s="6" t="n">
        <v>2500</v>
      </c>
      <c r="C24" s="2" t="inlineStr">
        <is>
          <t>İlk turda önbelleğe yazılır, sonra okunur</t>
        </is>
      </c>
    </row>
    <row r="25">
      <c r="A25" s="5" t="inlineStr">
        <is>
          <t>Tur başına yeni girdi (token)</t>
        </is>
      </c>
      <c r="B25" s="6" t="n">
        <v>350</v>
      </c>
      <c r="C25" s="2" t="inlineStr">
        <is>
          <t>Hastanın sözü + araç sonuçları</t>
        </is>
      </c>
    </row>
    <row r="26">
      <c r="A26" s="5" t="inlineStr">
        <is>
          <t>Tur başına çıktı (token)</t>
        </is>
      </c>
      <c r="B26" s="6" t="n">
        <v>120</v>
      </c>
      <c r="C26" s="2" t="inlineStr">
        <is>
          <t>Asistanın cevabı — telefon için kısa</t>
        </is>
      </c>
    </row>
    <row r="28">
      <c r="A28" s="4" t="inlineStr">
        <is>
          <t>ALTYAPI</t>
        </is>
      </c>
      <c r="B28" s="4" t="n"/>
      <c r="C28" s="4" t="n"/>
      <c r="D28" s="4" t="n"/>
    </row>
    <row r="29">
      <c r="A29" s="5" t="inlineStr">
        <is>
          <t>Sunucu + veritabanı ($/ay)</t>
        </is>
      </c>
      <c r="B29" s="11" t="n">
        <v>40</v>
      </c>
      <c r="C29" s="2" t="inlineStr">
        <is>
          <t>Hetzner/Railway sınıfı, yedekli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</cols>
  <sheetData>
    <row r="1">
      <c r="A1" s="1" t="inlineStr">
        <is>
          <t>Aylık Maliyet</t>
        </is>
      </c>
    </row>
    <row r="2">
      <c r="A2" s="2" t="inlineStr">
        <is>
          <t>Varsayimlar ve Birim Maliyetler sayfalarindan otomatik hesaplanir.</t>
        </is>
      </c>
    </row>
    <row r="5">
      <c r="A5" s="4" t="inlineStr">
        <is>
          <t>HACİM</t>
        </is>
      </c>
      <c r="B5" s="4" t="n"/>
      <c r="C5" s="4" t="n"/>
      <c r="D5" s="4" t="n"/>
    </row>
    <row r="6">
      <c r="A6" s="5" t="inlineStr">
        <is>
          <t>Aylık çağrı</t>
        </is>
      </c>
      <c r="B6" s="13">
        <f>Varsayimlar!B12</f>
        <v/>
      </c>
    </row>
    <row r="7">
      <c r="A7" s="5" t="inlineStr">
        <is>
          <t>Aylık dakika</t>
        </is>
      </c>
      <c r="B7" s="13">
        <f>Varsayimlar!B13</f>
        <v/>
      </c>
    </row>
    <row r="9">
      <c r="A9" s="4" t="inlineStr">
        <is>
          <t>MALİYET KALEMLERİ ($)</t>
        </is>
      </c>
      <c r="B9" s="4" t="n"/>
      <c r="C9" s="4" t="n"/>
      <c r="D9" s="4" t="n"/>
    </row>
    <row r="10">
      <c r="A10" s="5" t="inlineStr">
        <is>
          <t>ConversationRelay</t>
        </is>
      </c>
      <c r="B10" s="14">
        <f>B7*'Birim Maliyetler'!B6</f>
        <v/>
      </c>
    </row>
    <row r="11">
      <c r="A11" s="5" t="inlineStr">
        <is>
          <t>Gelen çağrı (telefon hattı)</t>
        </is>
      </c>
      <c r="B11" s="14">
        <f>B7*'Birim Maliyetler'!B7</f>
        <v/>
      </c>
    </row>
    <row r="12">
      <c r="A12" s="5" t="inlineStr">
        <is>
          <t>Numara kirası</t>
        </is>
      </c>
      <c r="B12" s="14">
        <f>'Birim Maliyetler'!B8</f>
        <v/>
      </c>
    </row>
    <row r="13">
      <c r="A13" s="5" t="inlineStr">
        <is>
          <t>Seslendirme (ElevenLabs)</t>
        </is>
      </c>
      <c r="B13" s="14">
        <f>B6*'Birim Maliyetler'!B14/1000*'Birim Maliyetler'!B13</f>
        <v/>
      </c>
    </row>
    <row r="14">
      <c r="A14" s="5" t="inlineStr">
        <is>
          <t>Yapay zekâ (Claude)</t>
        </is>
      </c>
      <c r="B14" s="14">
        <f>B6*((('Birim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</f>
        <v/>
      </c>
    </row>
    <row r="15">
      <c r="A15" s="5" t="inlineStr">
        <is>
          <t>Sunucu + veritabanı</t>
        </is>
      </c>
      <c r="B15" s="14">
        <f>'Birim Maliyetler'!B29</f>
        <v/>
      </c>
    </row>
    <row r="17">
      <c r="A17" s="9" t="inlineStr">
        <is>
          <t>TOPLAM ($/ay)</t>
        </is>
      </c>
      <c r="B17" s="15">
        <f>SUM(B10:B15)</f>
        <v/>
      </c>
    </row>
    <row r="18">
      <c r="A18" s="9" t="inlineStr">
        <is>
          <t>TOPLAM (₺/ay)</t>
        </is>
      </c>
      <c r="B18" s="16">
        <f>B17*Varsayimlar!B16</f>
        <v/>
      </c>
    </row>
    <row r="20">
      <c r="A20" s="9" t="inlineStr">
        <is>
          <t>Çağrı başına maliyet (₺)</t>
        </is>
      </c>
      <c r="B20" s="17">
        <f>IF(B6=0,0,B18/B6)</f>
        <v/>
      </c>
    </row>
    <row r="21">
      <c r="A21" s="5" t="inlineStr">
        <is>
          <t>Dakika başına maliyet (₺)</t>
        </is>
      </c>
      <c r="B21" s="18">
        <f>IF(B7=0,0,B18/B7)</f>
        <v/>
      </c>
    </row>
    <row r="23">
      <c r="A23" s="4" t="inlineStr">
        <is>
          <t>PAY DAĞILIMI</t>
        </is>
      </c>
      <c r="B23" s="4" t="n"/>
      <c r="C23" s="4" t="n"/>
      <c r="D23" s="4" t="n"/>
    </row>
    <row r="24">
      <c r="A24" s="5" t="inlineStr">
        <is>
          <t>Telefon (relay + çağrı + numara)</t>
        </is>
      </c>
      <c r="B24" s="19">
        <f>B10+B11+B12</f>
        <v/>
      </c>
      <c r="C24" s="20">
        <f>IF($B$17=0,0,B24/$B$17)</f>
        <v/>
      </c>
    </row>
    <row r="25">
      <c r="A25" s="5" t="inlineStr">
        <is>
          <t>Seslendirme</t>
        </is>
      </c>
      <c r="B25" s="19">
        <f>B13</f>
        <v/>
      </c>
      <c r="C25" s="20">
        <f>IF($B$17=0,0,B25/$B$17)</f>
        <v/>
      </c>
    </row>
    <row r="26">
      <c r="A26" s="5" t="inlineStr">
        <is>
          <t>Yapay zekâ</t>
        </is>
      </c>
      <c r="B26" s="19">
        <f>B14</f>
        <v/>
      </c>
      <c r="C26" s="20">
        <f>IF($B$17=0,0,B26/$B$17)</f>
        <v/>
      </c>
    </row>
    <row r="27">
      <c r="A27" s="5" t="inlineStr">
        <is>
          <t>Altyapı</t>
        </is>
      </c>
      <c r="B27" s="19">
        <f>B15</f>
        <v/>
      </c>
      <c r="C27" s="20">
        <f>IF($B$17=0,0,B27/$B$17)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56" customWidth="1" min="3" max="3"/>
  </cols>
  <sheetData>
    <row r="1">
      <c r="A1" s="1" t="inlineStr">
        <is>
          <t>Fiyatlandırma</t>
        </is>
      </c>
    </row>
    <row r="2">
      <c r="A2" s="2" t="inlineStr">
        <is>
          <t>Maliyetin uzerine hedef marj eklenerek onerilen fiyat hesaplanir.</t>
        </is>
      </c>
    </row>
    <row r="5">
      <c r="A5" s="4" t="inlineStr">
        <is>
          <t>AYLIK</t>
        </is>
      </c>
      <c r="B5" s="4" t="n"/>
      <c r="C5" s="4" t="n"/>
      <c r="D5" s="4" t="n"/>
    </row>
    <row r="6">
      <c r="A6" s="5" t="inlineStr">
        <is>
          <t>Aylık değişken maliyet (₺)</t>
        </is>
      </c>
      <c r="B6" s="21">
        <f>'Aylik Maliyet'!B18</f>
        <v/>
      </c>
    </row>
    <row r="7">
      <c r="A7" s="5" t="inlineStr">
        <is>
          <t>Aylık bakım/destek emeği (₺)</t>
        </is>
      </c>
      <c r="B7" s="22" t="n">
        <v>15000</v>
      </c>
      <c r="C7" s="2" t="inlineStr">
        <is>
          <t>İzleme, güncelleme, klinik talepleri</t>
        </is>
      </c>
    </row>
    <row r="8">
      <c r="A8" s="9" t="inlineStr">
        <is>
          <t>Toplam aylık maliyet (₺)</t>
        </is>
      </c>
      <c r="B8" s="23">
        <f>B6+B7</f>
        <v/>
      </c>
    </row>
    <row r="10">
      <c r="A10" s="9" t="inlineStr">
        <is>
          <t>ÖNERİLEN AYLIK FİYAT (₺)</t>
        </is>
      </c>
      <c r="B10" s="24">
        <f>B8/(1-Varsayimlar!B17)</f>
        <v/>
      </c>
    </row>
    <row r="11">
      <c r="A11" s="5" t="inlineStr">
        <is>
          <t>Aylık brüt kâr (₺)</t>
        </is>
      </c>
      <c r="B11" s="21">
        <f>B10-B8</f>
        <v/>
      </c>
    </row>
    <row r="13">
      <c r="A13" s="4" t="inlineStr">
        <is>
          <t>KURULUM (tek seferlik)</t>
        </is>
      </c>
      <c r="B13" s="4" t="n"/>
      <c r="C13" s="4" t="n"/>
      <c r="D13" s="4" t="n"/>
    </row>
    <row r="14">
      <c r="A14" s="5" t="inlineStr">
        <is>
          <t>Kurulum iş günü</t>
        </is>
      </c>
      <c r="B14" s="6" t="n">
        <v>25</v>
      </c>
      <c r="C14" s="2" t="inlineStr">
        <is>
          <t>Entegrasyon, klinik verisi, test, eğitim</t>
        </is>
      </c>
    </row>
    <row r="15">
      <c r="A15" s="5" t="inlineStr">
        <is>
          <t>Günlük maliyet (₺)</t>
        </is>
      </c>
      <c r="B15" s="22" t="n">
        <v>4000</v>
      </c>
      <c r="C15" s="2" t="inlineStr">
        <is>
          <t>İç maliyet</t>
        </is>
      </c>
    </row>
    <row r="16">
      <c r="A16" s="5" t="inlineStr">
        <is>
          <t>Kurulum maliyeti (₺)</t>
        </is>
      </c>
      <c r="B16" s="21">
        <f>B14*B15</f>
        <v/>
      </c>
    </row>
    <row r="17">
      <c r="A17" s="9" t="inlineStr">
        <is>
          <t>ÖNERİLEN KURULUM FİYATI (₺)</t>
        </is>
      </c>
      <c r="B17" s="25">
        <f>B16/(1-Varsayimlar!B17)</f>
        <v/>
      </c>
    </row>
    <row r="19">
      <c r="A19" s="4" t="inlineStr">
        <is>
          <t>KARŞILAŞTIRMA</t>
        </is>
      </c>
      <c r="B19" s="4" t="n"/>
      <c r="C19" s="4" t="n"/>
      <c r="D19" s="4" t="n"/>
    </row>
    <row r="20">
      <c r="A20" s="5" t="inlineStr">
        <is>
          <t>Önceki teklif (mesai dışı kapsam)</t>
        </is>
      </c>
      <c r="B20" s="26" t="n">
        <v>12900</v>
      </c>
      <c r="C20" s="2" t="inlineStr">
        <is>
          <t>55.000 ₺ kurulum + 12.900 ₺/ay — kapsam yalnızca mesai dışıydı</t>
        </is>
      </c>
    </row>
    <row r="21">
      <c r="A21" s="5" t="inlineStr">
        <is>
          <t>Fark (kat)</t>
        </is>
      </c>
      <c r="B21" s="27">
        <f>IF(B20=0,0,B10/B20)</f>
        <v/>
      </c>
    </row>
    <row r="23">
      <c r="A23" s="2" t="inlineStr">
        <is>
          <t>Not: Önceki teklif mesai dışı çağrıları kapsıyordu. 7/24 ve günde 100 çağrı,</t>
        </is>
      </c>
    </row>
    <row r="24">
      <c r="A24" s="2" t="inlineStr">
        <is>
          <t>kullanım bazlı kalemleri (telefon dakikası, seslendirme, model) doğrudan artırır.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Senaryolar — çağrı hacmine göre</t>
        </is>
      </c>
    </row>
    <row r="2">
      <c r="A2" s="2" t="inlineStr">
        <is>
          <t>Diger varsayimlar sabit tutularak yalnizca gunluk cagri sayisi degistirilmistir.</t>
        </is>
      </c>
    </row>
    <row r="5">
      <c r="A5" s="28" t="inlineStr">
        <is>
          <t>Günlük çağrı</t>
        </is>
      </c>
      <c r="B5" s="28" t="inlineStr">
        <is>
          <t>Aylık çağrı</t>
        </is>
      </c>
      <c r="C5" s="28" t="inlineStr">
        <is>
          <t>Aylık dakika</t>
        </is>
      </c>
      <c r="D5" s="28" t="inlineStr">
        <is>
          <t>Maliyet ($/ay)</t>
        </is>
      </c>
      <c r="E5" s="28" t="inlineStr">
        <is>
          <t>Maliyet (₺/ay)</t>
        </is>
      </c>
      <c r="F5" s="28" t="inlineStr">
        <is>
          <t>Çağrı başına (₺)</t>
        </is>
      </c>
      <c r="G5" s="28" t="inlineStr">
        <is>
          <t>Önerilen fiyat (₺/ay)</t>
        </is>
      </c>
    </row>
    <row r="6">
      <c r="A6" s="6" t="n">
        <v>25</v>
      </c>
      <c r="B6" s="29">
        <f>A6*Varsayimlar!B9*Varsayimlar!B10</f>
        <v/>
      </c>
      <c r="C6" s="29">
        <f>B6*Varsayimlar!B8</f>
        <v/>
      </c>
      <c r="D6" s="30">
        <f>C6*('Birim Maliyetler'!B6+'Birim Maliyetler'!B7)+'Birim Maliyetler'!B8+B6*'Birim Maliyetler'!B14/1000*'Birim Maliyetler'!B13+B6*((('Birim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E6" s="31">
        <f>D6*Varsayimlar!B16</f>
        <v/>
      </c>
      <c r="F6" s="32">
        <f>IF(B6=0,0,E6/B6)</f>
        <v/>
      </c>
      <c r="G6" s="33">
        <f>(E6+Fiyatlandirma!$B$7)/(1-Varsayimlar!B17)</f>
        <v/>
      </c>
    </row>
    <row r="7">
      <c r="A7" s="6" t="n">
        <v>50</v>
      </c>
      <c r="B7" s="29">
        <f>A7*Varsayimlar!B9*Varsayimlar!B10</f>
        <v/>
      </c>
      <c r="C7" s="29">
        <f>B7*Varsayimlar!B8</f>
        <v/>
      </c>
      <c r="D7" s="30">
        <f>C7*('Birim Maliyetler'!B6+'Birim Maliyetler'!B7)+'Birim Maliyetler'!B8+B7*'Birim Maliyetler'!B14/1000*'Birim Maliyetler'!B13+B7*((('Birim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E7" s="31">
        <f>D7*Varsayimlar!B16</f>
        <v/>
      </c>
      <c r="F7" s="32">
        <f>IF(B7=0,0,E7/B7)</f>
        <v/>
      </c>
      <c r="G7" s="33">
        <f>(E7+Fiyatlandirma!$B$7)/(1-Varsayimlar!B17)</f>
        <v/>
      </c>
    </row>
    <row r="8">
      <c r="A8" s="6" t="n">
        <v>100</v>
      </c>
      <c r="B8" s="29">
        <f>A8*Varsayimlar!B9*Varsayimlar!B10</f>
        <v/>
      </c>
      <c r="C8" s="29">
        <f>B8*Varsayimlar!B8</f>
        <v/>
      </c>
      <c r="D8" s="30">
        <f>C8*('Birim Maliyetler'!B6+'Birim Maliyetler'!B7)+'Birim Maliyetler'!B8+B8*'Birim Maliyetler'!B14/1000*'Birim Maliyetler'!B13+B8*((('Birim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E8" s="31">
        <f>D8*Varsayimlar!B16</f>
        <v/>
      </c>
      <c r="F8" s="32">
        <f>IF(B8=0,0,E8/B8)</f>
        <v/>
      </c>
      <c r="G8" s="33">
        <f>(E8+Fiyatlandirma!$B$7)/(1-Varsayimlar!B17)</f>
        <v/>
      </c>
    </row>
    <row r="9">
      <c r="A9" s="6" t="n">
        <v>150</v>
      </c>
      <c r="B9" s="29">
        <f>A9*Varsayimlar!B9*Varsayimlar!B10</f>
        <v/>
      </c>
      <c r="C9" s="29">
        <f>B9*Varsayimlar!B8</f>
        <v/>
      </c>
      <c r="D9" s="30">
        <f>C9*('Birim Maliyetler'!B6+'Birim Maliyetler'!B7)+'Birim Maliyetler'!B8+B9*'Birim Maliyetler'!B14/1000*'Birim Maliyetler'!B13+B9*((('Birim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E9" s="31">
        <f>D9*Varsayimlar!B16</f>
        <v/>
      </c>
      <c r="F9" s="32">
        <f>IF(B9=0,0,E9/B9)</f>
        <v/>
      </c>
      <c r="G9" s="33">
        <f>(E9+Fiyatlandirma!$B$7)/(1-Varsayimlar!B17)</f>
        <v/>
      </c>
    </row>
    <row r="10">
      <c r="A10" s="6" t="n">
        <v>200</v>
      </c>
      <c r="B10" s="29">
        <f>A10*Varsayimlar!B9*Varsayimlar!B10</f>
        <v/>
      </c>
      <c r="C10" s="29">
        <f>B10*Varsayimlar!B8</f>
        <v/>
      </c>
      <c r="D10" s="30">
        <f>C10*('Birim Maliyetler'!B6+'Birim Maliyetler'!B7)+'Birim Maliyetler'!B8+B10*'Birim Maliyetler'!B14/1000*'Birim Maliyetler'!B13+B10*((('Birim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E10" s="31">
        <f>D10*Varsayimlar!B16</f>
        <v/>
      </c>
      <c r="F10" s="32">
        <f>IF(B10=0,0,E10/B10)</f>
        <v/>
      </c>
      <c r="G10" s="33">
        <f>(E10+Fiyatlandirma!$B$7)/(1-Varsayimlar!B17)</f>
        <v/>
      </c>
    </row>
    <row r="11">
      <c r="A11" s="6" t="n">
        <v>300</v>
      </c>
      <c r="B11" s="29">
        <f>A11*Varsayimlar!B9*Varsayimlar!B10</f>
        <v/>
      </c>
      <c r="C11" s="29">
        <f>B11*Varsayimlar!B8</f>
        <v/>
      </c>
      <c r="D11" s="30">
        <f>C11*('Birim Maliyetler'!B6+'Birim Maliyetler'!B7)+'Birim Maliyetler'!B8+B11*'Birim Maliyetler'!B14/1000*'Birim Maliyetler'!B13+B11*((('Birim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E11" s="31">
        <f>D11*Varsayimlar!B16</f>
        <v/>
      </c>
      <c r="F11" s="32">
        <f>IF(B11=0,0,E11/B11)</f>
        <v/>
      </c>
      <c r="G11" s="33">
        <f>(E11+Fiyatlandirma!$B$7)/(1-Varsayimlar!B17)</f>
        <v/>
      </c>
    </row>
    <row r="14">
      <c r="A14" s="2" t="inlineStr">
        <is>
          <t>Sarı sütundaki günlük çağrı sayılarını değiştirebilirsiniz; satır kendini yeniden hesaplar.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Maliyet Düşürme Kaldıraçları</t>
        </is>
      </c>
    </row>
    <row r="2">
      <c r="A2" s="2" t="inlineStr">
        <is>
          <t>Maliyetin %76si TELEFON. Yapay zeka sadece %4. Dusurulecek yer bellidir.</t>
        </is>
      </c>
    </row>
    <row r="4">
      <c r="A4" s="2" t="inlineStr">
        <is>
          <t>Aşağıdaki her senaryo, yalnızca belirtilen kalemi değiştirip aylık maliyeti yeniden hesaplar.</t>
        </is>
      </c>
    </row>
    <row r="5">
      <c r="A5" s="34" t="inlineStr">
        <is>
          <t>Sarı hücreler varsayımdır — gerçek teklif alınca doldurulacak.</t>
        </is>
      </c>
    </row>
    <row r="7">
      <c r="A7" s="28" t="inlineStr">
        <is>
          <t>Senaryo</t>
        </is>
      </c>
      <c r="B7" s="28" t="inlineStr">
        <is>
          <t>Relay $/dk</t>
        </is>
      </c>
      <c r="C7" s="28" t="inlineStr">
        <is>
          <t>Gelen $/dk</t>
        </is>
      </c>
      <c r="D7" s="28" t="inlineStr">
        <is>
          <t>Çağrı oranı</t>
        </is>
      </c>
      <c r="E7" s="28" t="inlineStr">
        <is>
          <t>Maliyet ($/ay)</t>
        </is>
      </c>
      <c r="F7" s="28" t="inlineStr">
        <is>
          <t>Maliyet (₺/ay)</t>
        </is>
      </c>
      <c r="G7" s="28" t="inlineStr">
        <is>
          <t>Tasarruf</t>
        </is>
      </c>
    </row>
    <row r="8">
      <c r="A8" s="35" t="inlineStr">
        <is>
          <t>A — Twilio (bugünkü varsayım)</t>
        </is>
      </c>
      <c r="B8" s="11" t="n">
        <v>0.07000000000000001</v>
      </c>
      <c r="C8" s="11" t="n">
        <v>0.0701</v>
      </c>
      <c r="D8" s="8" t="n">
        <v>1</v>
      </c>
      <c r="E8" s="30">
        <f>((Varsayimlar!B7*Varsayimlar!B9*D8)*Varsayimlar!B8)*(B8+C8)+'Birim Maliyetler'!B8+(Varsayimlar!B7*Varsayimlar!B9*D8)*'Birim Maliyetler'!B14/1000*'Birim Maliyetler'!B13+(Varsayimlar!B7*Varsayimlar!B9*D8)*((('Birim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F8" s="33">
        <f>E8*Varsayimlar!B16</f>
        <v/>
      </c>
      <c r="G8" s="36">
        <f>IF($E$8=0,0,1-E8/$E$8)</f>
        <v/>
      </c>
      <c r="H8" s="2" t="inlineStr">
        <is>
          <t>Referans. ConversationRelay + Twilio Türkiye gelen çağrı.</t>
        </is>
      </c>
    </row>
    <row r="9">
      <c r="A9" s="37" t="inlineStr">
        <is>
          <t>B — Türk operatör + Twilio BYOC</t>
        </is>
      </c>
      <c r="B9" s="11" t="n">
        <v>0.07000000000000001</v>
      </c>
      <c r="C9" s="11" t="n">
        <v>0.01</v>
      </c>
      <c r="D9" s="8" t="n">
        <v>1</v>
      </c>
      <c r="E9" s="30">
        <f>((Varsayimlar!B7*Varsayimlar!B9*D9)*Varsayimlar!B8)*(B9+C9)+'Birim Maliyetler'!B8+(Varsayimlar!B7*Varsayimlar!B9*D9)*'Birim Maliyetler'!B14/1000*'Birim Maliyetler'!B13+(Varsayimlar!B7*Varsayimlar!B9*D9)*((('Birim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F9" s="33">
        <f>E9*Varsayimlar!B16</f>
        <v/>
      </c>
      <c r="G9" s="36">
        <f>IF($E$8=0,0,1-E9/$E$8)</f>
        <v/>
      </c>
      <c r="H9" s="2" t="inlineStr">
        <is>
          <t>Kendi operatorumuz Twilio ya BYOC ile baglanir. Relay aynen calisir, kod degismez. Teklif alinmali.</t>
        </is>
      </c>
    </row>
    <row r="10">
      <c r="A10" s="37" t="inlineStr">
        <is>
          <t>C — Kendi STT + TTS (relay yok)</t>
        </is>
      </c>
      <c r="B10" s="11" t="n">
        <v>0.015</v>
      </c>
      <c r="C10" s="11" t="n">
        <v>0.01</v>
      </c>
      <c r="D10" s="8" t="n">
        <v>1</v>
      </c>
      <c r="E10" s="30">
        <f>((Varsayimlar!B7*Varsayimlar!B9*D10)*Varsayimlar!B8)*(B10+C10)+'Birim Maliyetler'!B8+(Varsayimlar!B7*Varsayimlar!B9*D10)*'Birim Maliyetler'!B14/1000*'Birim Maliyetler'!B13+(Varsayimlar!B7*Varsayimlar!B9*D10)*((('Birim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F10" s="33">
        <f>E10*Varsayimlar!B16</f>
        <v/>
      </c>
      <c r="G10" s="36">
        <f>IF($E$8=0,0,1-E10/$E$8)</f>
        <v/>
      </c>
      <c r="H10" s="2" t="inlineStr">
        <is>
          <t>ConversationRelay yerine kendi akışımız. Geliştirme işi var, dakika ücreti düşer.</t>
        </is>
      </c>
    </row>
    <row r="11">
      <c r="A11" s="37" t="inlineStr">
        <is>
          <t>D — Sadece mesai dışı</t>
        </is>
      </c>
      <c r="B11" s="11" t="n">
        <v>0.07000000000000001</v>
      </c>
      <c r="C11" s="11" t="n">
        <v>0.0701</v>
      </c>
      <c r="D11" s="8" t="n">
        <v>0.35</v>
      </c>
      <c r="E11" s="30">
        <f>((Varsayimlar!B7*Varsayimlar!B9*D11)*Varsayimlar!B8)*(B11+C11)+'Birim Maliyetler'!B8+(Varsayimlar!B7*Varsayimlar!B9*D11)*'Birim Maliyetler'!B14/1000*'Birim Maliyetler'!B13+(Varsayimlar!B7*Varsayimlar!B9*D11)*((('Birim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F11" s="33">
        <f>E11*Varsayimlar!B16</f>
        <v/>
      </c>
      <c r="G11" s="36">
        <f>IF($E$8=0,0,1-E11/$E$8)</f>
        <v/>
      </c>
      <c r="H11" s="2" t="inlineStr">
        <is>
          <t>Gündüz resepsiyon karşılar. Çağrıların ~%35i asistana düşer.</t>
        </is>
      </c>
    </row>
    <row r="12">
      <c r="A12" s="37" t="inlineStr">
        <is>
          <t>E — B + D birlikte</t>
        </is>
      </c>
      <c r="B12" s="11" t="n">
        <v>0.07000000000000001</v>
      </c>
      <c r="C12" s="11" t="n">
        <v>0.01</v>
      </c>
      <c r="D12" s="8" t="n">
        <v>0.35</v>
      </c>
      <c r="E12" s="30">
        <f>((Varsayimlar!B7*Varsayimlar!B9*D12)*Varsayimlar!B8)*(B12+C12)+'Birim Maliyetler'!B8+(Varsayimlar!B7*Varsayimlar!B9*D12)*'Birim Maliyetler'!B14/1000*'Birim Maliyetler'!B13+(Varsayimlar!B7*Varsayimlar!B9*D12)*((('Birim Maliyetler'!B25*'Birim Maliyetler'!B23)+('Birim Maliyetler'!B24*1.25))/1000000*INDEX('Birim Maliyetler'!B18:D18,Varsayimlar!B18)+('Birim Maliyetler'!B24*('Birim Maliyetler'!B23-1))/1000000*INDEX('Birim Maliyetler'!B20:D20,Varsayimlar!B18)+('Birim Maliyetler'!B26*'Birim Maliyetler'!B23)/1000000*INDEX('Birim Maliyetler'!B19:D19,Varsayimlar!B18))+'Birim Maliyetler'!B29</f>
        <v/>
      </c>
      <c r="F12" s="33">
        <f>E12*Varsayimlar!B16</f>
        <v/>
      </c>
      <c r="G12" s="36">
        <f>IF($E$8=0,0,1-E12/$E$8)</f>
        <v/>
      </c>
      <c r="H12" s="2" t="inlineStr">
        <is>
          <t>Türk operatör + yalnızca mesai dışı. En gerçekçi başlangıç.</t>
        </is>
      </c>
    </row>
    <row r="15">
      <c r="A15" s="38" t="inlineStr">
        <is>
          <t>B senaryosu MİMARİ OLARAK DOĞRULANDI: Twilio BYOC (Bring Your Own Carrier) ile kendi</t>
        </is>
      </c>
    </row>
    <row r="16">
      <c r="A16" s="39" t="inlineStr">
        <is>
          <t>operatörümüzü bağlayıp ConversationRelay i aynen kullanmaya devam edebiliyoruz — kod değişmiyor.</t>
        </is>
      </c>
    </row>
    <row r="17">
      <c r="A17" s="3" t="inlineStr">
        <is>
          <t>EKSİK: Twilio nun BYOC dakika ücreti. Twilio ya sorulacak, modele eklenecek.</t>
        </is>
      </c>
    </row>
    <row r="19">
      <c r="A19" t="inlineStr">
        <is>
          <t>ÖNEMLİ: B ve C senaryolarındaki dakika ücretleri VARSAYIMDIR. Türk SIP sağlayıcılardan</t>
        </is>
      </c>
    </row>
    <row r="20">
      <c r="A20" s="38" t="inlineStr">
        <is>
          <t>teklif alınmadan bu sayılar müşteriye verilmemelidir.</t>
        </is>
      </c>
    </row>
    <row r="22">
      <c r="A22" s="2" t="inlineStr">
        <is>
          <t>Yapay zekâ maliyeti neden küçük: görüşme başına yaklaşık 1 ₺. Model değiştirmek toplam</t>
        </is>
      </c>
    </row>
    <row r="23">
      <c r="A23" s="2" t="inlineStr">
        <is>
          <t>maliyeti ancak %4 oynatıyor. Telefon kalemi ise %76 — iyileştirme oraya yapılmalı.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2026-10-04T16:12:13Z</dcterms:created>
  <dcterms:modified xsi:type="dcterms:W3CDTF">2026-10-04T16:12:13Z</dcterms:modified>
</cp:coreProperties>
</file>